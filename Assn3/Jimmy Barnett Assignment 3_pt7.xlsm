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trejimmy5562/Desktop/GEOG312_2/Assn3/"/>
    </mc:Choice>
  </mc:AlternateContent>
  <xr:revisionPtr revIDLastSave="0" documentId="8_{73AA5081-F3BB-2D47-8F15-5D16DB708AE1}" xr6:coauthVersionLast="41" xr6:coauthVersionMax="41" xr10:uidLastSave="{00000000-0000-0000-0000-000000000000}"/>
  <bookViews>
    <workbookView xWindow="740" yWindow="460" windowWidth="26280" windowHeight="16060" tabRatio="505" xr2:uid="{00000000-000D-0000-FFFF-FFFF00000000}"/>
  </bookViews>
  <sheets>
    <sheet name="1_Quad" sheetId="5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8" i="5" l="1"/>
  <c r="W7" i="5"/>
  <c r="U7" i="5"/>
  <c r="T7" i="5"/>
  <c r="R7" i="5"/>
  <c r="Y8" i="5" l="1"/>
  <c r="Y7" i="5"/>
  <c r="X8" i="5"/>
  <c r="X7" i="5"/>
  <c r="W8" i="5"/>
  <c r="N2" i="5"/>
  <c r="O2" i="5" s="1"/>
  <c r="N3" i="5"/>
  <c r="O3" i="5" s="1"/>
  <c r="N4" i="5"/>
  <c r="O4" i="5" s="1"/>
  <c r="N5" i="5"/>
  <c r="O5" i="5"/>
  <c r="N6" i="5"/>
  <c r="O6" i="5" s="1"/>
  <c r="N7" i="5"/>
  <c r="O7" i="5"/>
  <c r="N8" i="5"/>
  <c r="O8" i="5" s="1"/>
  <c r="N9" i="5"/>
  <c r="O9" i="5" s="1"/>
  <c r="N10" i="5"/>
  <c r="O10" i="5" s="1"/>
  <c r="N11" i="5"/>
  <c r="O11" i="5" s="1"/>
  <c r="N12" i="5"/>
  <c r="O12" i="5" s="1"/>
  <c r="N13" i="5"/>
  <c r="O13" i="5"/>
  <c r="N14" i="5"/>
  <c r="O14" i="5" s="1"/>
  <c r="N15" i="5"/>
  <c r="O15" i="5"/>
  <c r="N16" i="5"/>
  <c r="O16" i="5" s="1"/>
  <c r="N17" i="5"/>
  <c r="O17" i="5" s="1"/>
  <c r="N18" i="5"/>
  <c r="O18" i="5" s="1"/>
  <c r="N19" i="5"/>
  <c r="O19" i="5" s="1"/>
  <c r="N20" i="5"/>
  <c r="O20" i="5" s="1"/>
  <c r="N21" i="5"/>
  <c r="O21" i="5"/>
  <c r="N22" i="5"/>
  <c r="O22" i="5" s="1"/>
  <c r="N23" i="5"/>
  <c r="O23" i="5" s="1"/>
  <c r="N24" i="5"/>
  <c r="O24" i="5" s="1"/>
  <c r="N25" i="5"/>
  <c r="O25" i="5" s="1"/>
  <c r="N26" i="5"/>
  <c r="O26" i="5" s="1"/>
  <c r="N27" i="5"/>
  <c r="O27" i="5" s="1"/>
  <c r="N28" i="5"/>
  <c r="O28" i="5" s="1"/>
  <c r="N29" i="5"/>
  <c r="O29" i="5"/>
  <c r="N30" i="5"/>
  <c r="O30" i="5" s="1"/>
  <c r="N31" i="5"/>
  <c r="O31" i="5" s="1"/>
  <c r="O33" i="5" l="1"/>
  <c r="O32" i="5"/>
</calcChain>
</file>

<file path=xl/sharedStrings.xml><?xml version="1.0" encoding="utf-8"?>
<sst xmlns="http://schemas.openxmlformats.org/spreadsheetml/2006/main" count="43" uniqueCount="43">
  <si>
    <t>Sample number:</t>
  </si>
  <si>
    <t>Your Group</t>
  </si>
  <si>
    <t>Observation 1</t>
  </si>
  <si>
    <t>Observation 2</t>
  </si>
  <si>
    <t>Observation 3</t>
  </si>
  <si>
    <t>Observation 4</t>
  </si>
  <si>
    <t>stats</t>
  </si>
  <si>
    <t>significance</t>
  </si>
  <si>
    <t>Observation 5</t>
  </si>
  <si>
    <t>surface</t>
  </si>
  <si>
    <t>Xbar</t>
  </si>
  <si>
    <t>s</t>
  </si>
  <si>
    <t>SE(x1-x2)</t>
  </si>
  <si>
    <t>Z (using eq. 3)</t>
  </si>
  <si>
    <t>Observation 6</t>
  </si>
  <si>
    <t>quad (grass) X1</t>
  </si>
  <si>
    <t>from:</t>
  </si>
  <si>
    <t>Observation 7</t>
  </si>
  <si>
    <t>parking lot X2</t>
  </si>
  <si>
    <t>to:</t>
  </si>
  <si>
    <t>Observation 8</t>
  </si>
  <si>
    <t>Observation 9</t>
  </si>
  <si>
    <t>Observation 10</t>
  </si>
  <si>
    <t>Observation 11</t>
  </si>
  <si>
    <t>Observation 12</t>
  </si>
  <si>
    <t>Observation 13</t>
  </si>
  <si>
    <t>Observation 14</t>
  </si>
  <si>
    <t>Observation 15</t>
  </si>
  <si>
    <t>Observation 16</t>
  </si>
  <si>
    <t>Observation 17</t>
  </si>
  <si>
    <t>Observation 18</t>
  </si>
  <si>
    <t>Observation 19</t>
  </si>
  <si>
    <t>Observation 20</t>
  </si>
  <si>
    <t>Observation 21</t>
  </si>
  <si>
    <t>Observation 22</t>
  </si>
  <si>
    <t>Observation 23</t>
  </si>
  <si>
    <t>Observation 24</t>
  </si>
  <si>
    <t>Observation 25</t>
  </si>
  <si>
    <t>Observation 26</t>
  </si>
  <si>
    <t>Observation 27</t>
  </si>
  <si>
    <t>Observation 28</t>
  </si>
  <si>
    <t>Observation 29</t>
  </si>
  <si>
    <t>Observation 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</si>
</sst>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0"/>
  </numFmts>
  <fonts count="6">
    <font>
      <sz val="9"/>
      <color theme="1"/>
      <name val="Tw Cen MT"/>
      <family val="2"/>
    </font>
    <font>
      <sz val="9"/>
      <color theme="1"/>
      <name val="Tw Cen MT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9"/>
      <color theme="1"/>
      <name val="Tw Cen MT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E7E6E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26">
    <xf numFmtId="0" fontId="0" fillId="0" borderId="0" xfId="0"/>
    <xf numFmtId="0" fontId="5" fillId="0" borderId="0" xfId="0" applyFont="1" applyAlignment="1">
      <alignment horizontal="center"/>
    </xf>
    <xf numFmtId="0" fontId="1" fillId="0" borderId="0" xfId="0" applyFont="1"/>
    <xf numFmtId="0" fontId="5" fillId="0" borderId="0" xfId="0" applyNumberFormat="1" applyFont="1" applyAlignment="1">
      <alignment horizontal="center"/>
    </xf>
    <xf numFmtId="0" fontId="1" fillId="0" borderId="0" xfId="0" applyNumberFormat="1" applyFont="1"/>
    <xf numFmtId="0" fontId="0" fillId="0" borderId="0" xfId="0" applyNumberFormat="1" applyFont="1"/>
    <xf numFmtId="164" fontId="1" fillId="0" borderId="0" xfId="0" applyNumberFormat="1" applyFont="1"/>
    <xf numFmtId="0" fontId="5" fillId="2" borderId="0" xfId="0" applyFont="1" applyFill="1" applyAlignment="1">
      <alignment horizontal="center"/>
    </xf>
    <xf numFmtId="164" fontId="0" fillId="2" borderId="0" xfId="0" applyNumberFormat="1" applyFill="1"/>
    <xf numFmtId="0" fontId="1" fillId="0" borderId="1" xfId="0" applyFont="1" applyBorder="1"/>
    <xf numFmtId="0" fontId="1" fillId="3" borderId="1" xfId="0" applyFont="1" applyFill="1" applyBorder="1"/>
    <xf numFmtId="165" fontId="5" fillId="0" borderId="0" xfId="0" applyNumberFormat="1" applyFont="1" applyAlignment="1">
      <alignment horizontal="center"/>
    </xf>
    <xf numFmtId="165" fontId="0" fillId="0" borderId="0" xfId="0" applyNumberFormat="1" applyFont="1"/>
    <xf numFmtId="165" fontId="1" fillId="0" borderId="0" xfId="0" applyNumberFormat="1" applyFont="1"/>
    <xf numFmtId="0" fontId="1" fillId="0" borderId="1" xfId="0" applyFont="1" applyBorder="1" applyAlignment="1">
      <alignment horizontal="center"/>
    </xf>
    <xf numFmtId="0" fontId="1" fillId="3" borderId="4" xfId="0" applyFont="1" applyFill="1" applyBorder="1"/>
    <xf numFmtId="0" fontId="1" fillId="0" borderId="1" xfId="0" applyFont="1" applyBorder="1" applyAlignment="1"/>
    <xf numFmtId="9" fontId="1" fillId="3" borderId="6" xfId="0" applyNumberFormat="1" applyFont="1" applyFill="1" applyBorder="1"/>
    <xf numFmtId="9" fontId="1" fillId="3" borderId="2" xfId="0" applyNumberFormat="1" applyFont="1" applyFill="1" applyBorder="1"/>
    <xf numFmtId="0" fontId="1" fillId="3" borderId="4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0" borderId="0" xfId="0" applyFont="1" applyAlignment="1">
      <alignment horizontal="left" vertical="top" wrapText="1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0" borderId="0" xfId="0" applyFont="1"/>
  </cellXfs>
  <cellStyles count="114">
    <cellStyle name="Followed Hyperlink" xfId="68" builtinId="9" hidden="1"/>
    <cellStyle name="Followed Hyperlink" xfId="72" builtinId="9" hidden="1"/>
    <cellStyle name="Followed Hyperlink" xfId="76" builtinId="9" hidden="1"/>
    <cellStyle name="Followed Hyperlink" xfId="80" builtinId="9" hidden="1"/>
    <cellStyle name="Followed Hyperlink" xfId="84" builtinId="9" hidden="1"/>
    <cellStyle name="Followed Hyperlink" xfId="88" builtinId="9" hidden="1"/>
    <cellStyle name="Followed Hyperlink" xfId="92" builtinId="9" hidden="1"/>
    <cellStyle name="Followed Hyperlink" xfId="96" builtinId="9" hidden="1"/>
    <cellStyle name="Followed Hyperlink" xfId="101" builtinId="9" hidden="1"/>
    <cellStyle name="Followed Hyperlink" xfId="105" builtinId="9" hidden="1"/>
    <cellStyle name="Followed Hyperlink" xfId="109" builtinId="9" hidden="1"/>
    <cellStyle name="Followed Hyperlink" xfId="113" builtinId="9" hidden="1"/>
    <cellStyle name="Followed Hyperlink" xfId="111" builtinId="9" hidden="1"/>
    <cellStyle name="Followed Hyperlink" xfId="107" builtinId="9" hidden="1"/>
    <cellStyle name="Followed Hyperlink" xfId="103" builtinId="9" hidden="1"/>
    <cellStyle name="Followed Hyperlink" xfId="98" builtinId="9" hidden="1"/>
    <cellStyle name="Followed Hyperlink" xfId="94" builtinId="9" hidden="1"/>
    <cellStyle name="Followed Hyperlink" xfId="90" builtinId="9" hidden="1"/>
    <cellStyle name="Followed Hyperlink" xfId="86" builtinId="9" hidden="1"/>
    <cellStyle name="Followed Hyperlink" xfId="82" builtinId="9" hidden="1"/>
    <cellStyle name="Followed Hyperlink" xfId="78" builtinId="9" hidden="1"/>
    <cellStyle name="Followed Hyperlink" xfId="74" builtinId="9" hidden="1"/>
    <cellStyle name="Followed Hyperlink" xfId="70" builtinId="9" hidden="1"/>
    <cellStyle name="Followed Hyperlink" xfId="66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4" builtinId="9" hidden="1"/>
    <cellStyle name="Followed Hyperlink" xfId="62" builtinId="9" hidden="1"/>
    <cellStyle name="Followed Hyperlink" xfId="54" builtinId="9" hidden="1"/>
    <cellStyle name="Followed Hyperlink" xfId="46" builtinId="9" hidden="1"/>
    <cellStyle name="Followed Hyperlink" xfId="38" builtinId="9" hidden="1"/>
    <cellStyle name="Followed Hyperlink" xfId="30" builtinId="9" hidden="1"/>
    <cellStyle name="Followed Hyperlink" xfId="22" builtinId="9" hidden="1"/>
    <cellStyle name="Followed Hyperlink" xfId="10" builtinId="9" hidden="1"/>
    <cellStyle name="Followed Hyperlink" xfId="12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14" builtinId="9" hidden="1"/>
    <cellStyle name="Followed Hyperlink" xfId="6" builtinId="9" hidden="1"/>
    <cellStyle name="Followed Hyperlink" xfId="8" builtinId="9" hidden="1"/>
    <cellStyle name="Followed Hyperlink" xfId="4" builtinId="9" hidden="1"/>
    <cellStyle name="Followed Hyperlink" xfId="2" builtinId="9" hidden="1"/>
    <cellStyle name="Hyperlink" xfId="63" builtinId="8" hidden="1"/>
    <cellStyle name="Hyperlink" xfId="67" builtinId="8" hidden="1"/>
    <cellStyle name="Hyperlink" xfId="69" builtinId="8" hidden="1"/>
    <cellStyle name="Hyperlink" xfId="71" builtinId="8" hidden="1"/>
    <cellStyle name="Hyperlink" xfId="75" builtinId="8" hidden="1"/>
    <cellStyle name="Hyperlink" xfId="77" builtinId="8" hidden="1"/>
    <cellStyle name="Hyperlink" xfId="79" builtinId="8" hidden="1"/>
    <cellStyle name="Hyperlink" xfId="83" builtinId="8" hidden="1"/>
    <cellStyle name="Hyperlink" xfId="85" builtinId="8" hidden="1"/>
    <cellStyle name="Hyperlink" xfId="87" builtinId="8" hidden="1"/>
    <cellStyle name="Hyperlink" xfId="91" builtinId="8" hidden="1"/>
    <cellStyle name="Hyperlink" xfId="93" builtinId="8" hidden="1"/>
    <cellStyle name="Hyperlink" xfId="95" builtinId="8" hidden="1"/>
    <cellStyle name="Hyperlink" xfId="100" builtinId="8" hidden="1"/>
    <cellStyle name="Hyperlink" xfId="102" builtinId="8" hidden="1"/>
    <cellStyle name="Hyperlink" xfId="104" builtinId="8" hidden="1"/>
    <cellStyle name="Hyperlink" xfId="108" builtinId="8" hidden="1"/>
    <cellStyle name="Hyperlink" xfId="110" builtinId="8" hidden="1"/>
    <cellStyle name="Hyperlink" xfId="112" builtinId="8" hidden="1"/>
    <cellStyle name="Hyperlink" xfId="106" builtinId="8" hidden="1"/>
    <cellStyle name="Hyperlink" xfId="97" builtinId="8" hidden="1"/>
    <cellStyle name="Hyperlink" xfId="89" builtinId="8" hidden="1"/>
    <cellStyle name="Hyperlink" xfId="81" builtinId="8" hidden="1"/>
    <cellStyle name="Hyperlink" xfId="73" builtinId="8" hidden="1"/>
    <cellStyle name="Hyperlink" xfId="65" builtinId="8" hidden="1"/>
    <cellStyle name="Hyperlink" xfId="27" builtinId="8" hidden="1"/>
    <cellStyle name="Hyperlink" xfId="29" builtinId="8" hidden="1"/>
    <cellStyle name="Hyperlink" xfId="31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49" builtinId="8" hidden="1"/>
    <cellStyle name="Hyperlink" xfId="33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7" builtinId="8" hidden="1"/>
    <cellStyle name="Hyperlink" xfId="9" builtinId="8" hidden="1"/>
    <cellStyle name="Hyperlink" xfId="11" builtinId="8" hidden="1"/>
    <cellStyle name="Hyperlink" xfId="3" builtinId="8" hidden="1"/>
    <cellStyle name="Hyperlink" xfId="5" builtinId="8" hidden="1"/>
    <cellStyle name="Hyperlink" xfId="1" builtinId="8" hidden="1"/>
    <cellStyle name="Normal" xfId="0" builtinId="0" customBuiltin="1"/>
    <cellStyle name="Normal 2" xfId="99" xr:uid="{00000000-0005-0000-0000-000071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95"/>
  <sheetViews>
    <sheetView tabSelected="1" zoomScale="84" workbookViewId="0">
      <pane xSplit="1" ySplit="1" topLeftCell="B2" activePane="bottomRight" state="frozen"/>
      <selection pane="topRight" activeCell="B1" sqref="B1"/>
      <selection pane="bottomLeft" activeCell="A3" sqref="A3"/>
      <selection pane="bottomRight" activeCell="B46" sqref="B46"/>
    </sheetView>
  </sheetViews>
  <sheetFormatPr baseColWidth="10" defaultColWidth="11.19921875" defaultRowHeight="12"/>
  <cols>
    <col min="1" max="1" width="12.59765625" style="2" bestFit="1" customWidth="1"/>
    <col min="2" max="2" width="13.3984375" style="2" customWidth="1"/>
    <col min="3" max="3" width="4.3984375" style="2" bestFit="1" customWidth="1"/>
    <col min="4" max="4" width="4.3984375" style="4" customWidth="1"/>
    <col min="5" max="6" width="4.3984375" style="2" bestFit="1" customWidth="1"/>
    <col min="7" max="11" width="4.3984375" style="2" customWidth="1"/>
    <col min="12" max="13" width="11.19921875" style="2"/>
    <col min="14" max="14" width="11.19921875" style="13"/>
    <col min="15" max="16384" width="11.19921875" style="2"/>
  </cols>
  <sheetData>
    <row r="1" spans="1:27" s="1" customFormat="1">
      <c r="A1" s="1" t="s">
        <v>0</v>
      </c>
      <c r="B1" s="7" t="s">
        <v>1</v>
      </c>
      <c r="C1" s="1">
        <v>2</v>
      </c>
      <c r="D1" s="3">
        <v>3</v>
      </c>
      <c r="E1" s="1">
        <v>4</v>
      </c>
      <c r="F1" s="1">
        <v>5</v>
      </c>
      <c r="G1" s="3">
        <v>6</v>
      </c>
      <c r="H1" s="1">
        <v>7</v>
      </c>
      <c r="I1" s="1">
        <v>8</v>
      </c>
      <c r="J1" s="3">
        <v>9</v>
      </c>
      <c r="K1" s="1">
        <v>10</v>
      </c>
      <c r="N1" s="11"/>
    </row>
    <row r="2" spans="1:27">
      <c r="A2" t="s">
        <v>2</v>
      </c>
      <c r="B2">
        <v>21.3</v>
      </c>
      <c r="C2">
        <v>19.7</v>
      </c>
      <c r="D2">
        <v>24</v>
      </c>
      <c r="E2">
        <v>20.399999999999999</v>
      </c>
      <c r="F2">
        <v>19.3</v>
      </c>
      <c r="G2">
        <v>17.899999999999999</v>
      </c>
      <c r="H2">
        <v>22.4</v>
      </c>
      <c r="I2">
        <v>20.6</v>
      </c>
      <c r="J2">
        <v>20.8</v>
      </c>
      <c r="K2">
        <v>21.3</v>
      </c>
      <c r="L2">
        <v>23.3</v>
      </c>
      <c r="M2" s="8">
        <v>61.78</v>
      </c>
      <c r="N2" s="12">
        <f>(M2-61.733333)</f>
        <v>4.6666999999999348E-2</v>
      </c>
      <c r="O2" s="13">
        <f>N2^2</f>
        <v>2.177808888999939E-3</v>
      </c>
      <c r="AA2">
        <v>26.1</v>
      </c>
    </row>
    <row r="3" spans="1:27">
      <c r="A3" t="s">
        <v>3</v>
      </c>
      <c r="B3">
        <v>21.4</v>
      </c>
      <c r="C3">
        <v>19.600000000000001</v>
      </c>
      <c r="D3">
        <v>22.8</v>
      </c>
      <c r="E3">
        <v>21.8</v>
      </c>
      <c r="F3">
        <v>20</v>
      </c>
      <c r="G3">
        <v>17.899999999999999</v>
      </c>
      <c r="H3">
        <v>22.3</v>
      </c>
      <c r="I3">
        <v>21.2</v>
      </c>
      <c r="J3">
        <v>20.100000000000001</v>
      </c>
      <c r="K3">
        <v>21.7</v>
      </c>
      <c r="L3">
        <v>22.3</v>
      </c>
      <c r="M3" s="8">
        <v>61.6</v>
      </c>
      <c r="N3" s="13">
        <f>(M3-61.733333)</f>
        <v>-0.13333300000000037</v>
      </c>
      <c r="O3" s="13">
        <f>N3^2</f>
        <v>1.7777688889000099E-2</v>
      </c>
      <c r="AA3">
        <v>26.5</v>
      </c>
    </row>
    <row r="4" spans="1:27">
      <c r="A4" t="s">
        <v>4</v>
      </c>
      <c r="B4">
        <v>21.3</v>
      </c>
      <c r="C4">
        <v>20.6</v>
      </c>
      <c r="D4">
        <v>22.6</v>
      </c>
      <c r="E4">
        <v>21.3</v>
      </c>
      <c r="F4">
        <v>19.3</v>
      </c>
      <c r="G4">
        <v>17.899999999999999</v>
      </c>
      <c r="H4">
        <v>21.7</v>
      </c>
      <c r="I4">
        <v>21.2</v>
      </c>
      <c r="J4">
        <v>20.7</v>
      </c>
      <c r="K4">
        <v>22.3</v>
      </c>
      <c r="L4">
        <v>23.1</v>
      </c>
      <c r="M4" s="8">
        <v>61.78</v>
      </c>
      <c r="N4" s="13">
        <f>(M4-61.733333)</f>
        <v>4.6666999999999348E-2</v>
      </c>
      <c r="O4" s="13">
        <f>N4^2</f>
        <v>2.177808888999939E-3</v>
      </c>
      <c r="AA4">
        <v>25.4</v>
      </c>
    </row>
    <row r="5" spans="1:27">
      <c r="A5" t="s">
        <v>5</v>
      </c>
      <c r="B5">
        <v>21.5</v>
      </c>
      <c r="C5">
        <v>19.600000000000001</v>
      </c>
      <c r="D5">
        <v>23.3</v>
      </c>
      <c r="E5">
        <v>20.8</v>
      </c>
      <c r="F5">
        <v>20</v>
      </c>
      <c r="G5">
        <v>17.899999999999999</v>
      </c>
      <c r="H5">
        <v>21.4</v>
      </c>
      <c r="I5">
        <v>21.8</v>
      </c>
      <c r="J5">
        <v>20.9</v>
      </c>
      <c r="K5">
        <v>22.7</v>
      </c>
      <c r="L5">
        <v>22.9</v>
      </c>
      <c r="M5" s="8">
        <v>61.6</v>
      </c>
      <c r="N5" s="12">
        <f t="shared" ref="N5:N31" si="0">(M5-61.733333)</f>
        <v>-0.13333300000000037</v>
      </c>
      <c r="O5" s="13">
        <f t="shared" ref="O5:O31" si="1">N5^2</f>
        <v>1.7777688889000099E-2</v>
      </c>
      <c r="Q5" s="19" t="s">
        <v>6</v>
      </c>
      <c r="R5" s="20"/>
      <c r="S5" s="20"/>
      <c r="T5" s="20"/>
      <c r="U5" s="21"/>
      <c r="V5" s="19" t="s">
        <v>7</v>
      </c>
      <c r="W5" s="20"/>
      <c r="X5" s="20"/>
      <c r="Y5" s="21"/>
      <c r="AA5">
        <v>25.1</v>
      </c>
    </row>
    <row r="6" spans="1:27">
      <c r="A6" t="s">
        <v>8</v>
      </c>
      <c r="B6">
        <v>21.8</v>
      </c>
      <c r="C6">
        <v>19.100000000000001</v>
      </c>
      <c r="D6">
        <v>22.6</v>
      </c>
      <c r="E6">
        <v>21</v>
      </c>
      <c r="F6">
        <v>19.2</v>
      </c>
      <c r="G6">
        <v>17.8</v>
      </c>
      <c r="H6">
        <v>21.7</v>
      </c>
      <c r="I6">
        <v>21.9</v>
      </c>
      <c r="J6">
        <v>20.8</v>
      </c>
      <c r="K6">
        <v>22.5</v>
      </c>
      <c r="L6">
        <v>22.4</v>
      </c>
      <c r="M6" s="8">
        <v>61.96</v>
      </c>
      <c r="N6" s="13">
        <f t="shared" si="0"/>
        <v>0.22666699999999906</v>
      </c>
      <c r="O6" s="13">
        <f t="shared" si="1"/>
        <v>5.1377928888999579E-2</v>
      </c>
      <c r="Q6" s="10" t="s">
        <v>9</v>
      </c>
      <c r="R6" s="10" t="s">
        <v>10</v>
      </c>
      <c r="S6" s="10" t="s">
        <v>11</v>
      </c>
      <c r="T6" s="10" t="s">
        <v>12</v>
      </c>
      <c r="U6" s="15" t="s">
        <v>13</v>
      </c>
      <c r="V6" s="10"/>
      <c r="W6" s="17">
        <v>0.9</v>
      </c>
      <c r="X6" s="18">
        <v>0.95</v>
      </c>
      <c r="Y6" s="18">
        <v>0.99</v>
      </c>
      <c r="AA6">
        <v>24.6</v>
      </c>
    </row>
    <row r="7" spans="1:27">
      <c r="A7" t="s">
        <v>14</v>
      </c>
      <c r="B7">
        <v>20.100000000000001</v>
      </c>
      <c r="C7">
        <v>20.3</v>
      </c>
      <c r="D7">
        <v>21.7</v>
      </c>
      <c r="E7">
        <v>20.2</v>
      </c>
      <c r="F7">
        <v>19.3</v>
      </c>
      <c r="G7">
        <v>17.7</v>
      </c>
      <c r="H7">
        <v>21.4</v>
      </c>
      <c r="I7">
        <v>21.2</v>
      </c>
      <c r="J7">
        <v>21.3</v>
      </c>
      <c r="K7">
        <v>22.6</v>
      </c>
      <c r="L7">
        <v>22.9</v>
      </c>
      <c r="M7" s="8">
        <v>61.78</v>
      </c>
      <c r="N7" s="13">
        <f>(M7-61.733333)</f>
        <v>4.6666999999999348E-2</v>
      </c>
      <c r="O7" s="13">
        <f t="shared" si="1"/>
        <v>2.177808888999939E-3</v>
      </c>
      <c r="Q7" s="10" t="s">
        <v>15</v>
      </c>
      <c r="R7" s="9">
        <f>(SUM(B2:B31))/30</f>
        <v>20.966666666666665</v>
      </c>
      <c r="S7" s="9">
        <v>0.97349353114050696</v>
      </c>
      <c r="T7" s="23">
        <f>SQRT((S7/30)+(S8/30))</f>
        <v>0.28925834483881863</v>
      </c>
      <c r="U7" s="23">
        <f>((R7-R8)/(T7))</f>
        <v>-6.9833767496857861</v>
      </c>
      <c r="V7" s="15" t="s">
        <v>16</v>
      </c>
      <c r="W7" s="14">
        <f>(R7-R8)-(1.645*0.04555991)</f>
        <v>-2.0949460519499996</v>
      </c>
      <c r="X7" s="16">
        <f>(R7-R8)-(1.96*0.04555991)</f>
        <v>-2.1092974235999997</v>
      </c>
      <c r="Y7" s="16">
        <f>(R7-R8)-(2.576*0.04555991)</f>
        <v>-2.1373623281599996</v>
      </c>
      <c r="AA7">
        <v>23.3</v>
      </c>
    </row>
    <row r="8" spans="1:27">
      <c r="A8" t="s">
        <v>17</v>
      </c>
      <c r="B8">
        <v>20.2</v>
      </c>
      <c r="C8">
        <v>20.6</v>
      </c>
      <c r="D8">
        <v>23.1</v>
      </c>
      <c r="E8">
        <v>21.1</v>
      </c>
      <c r="F8">
        <v>20</v>
      </c>
      <c r="G8">
        <v>17.899999999999999</v>
      </c>
      <c r="H8">
        <v>21.8</v>
      </c>
      <c r="I8">
        <v>23.2</v>
      </c>
      <c r="J8">
        <v>20.9</v>
      </c>
      <c r="K8">
        <v>21.8</v>
      </c>
      <c r="L8">
        <v>22.3</v>
      </c>
      <c r="M8" s="8">
        <v>61.42</v>
      </c>
      <c r="N8" s="12">
        <f t="shared" si="0"/>
        <v>-0.31333300000000008</v>
      </c>
      <c r="O8" s="13">
        <f t="shared" si="1"/>
        <v>9.8177568889000047E-2</v>
      </c>
      <c r="Q8" s="10" t="s">
        <v>18</v>
      </c>
      <c r="R8" s="9">
        <f>(SUM(AA2:AA31))/30</f>
        <v>22.986666666666665</v>
      </c>
      <c r="S8" s="9">
        <v>1.53661817062628</v>
      </c>
      <c r="T8" s="24"/>
      <c r="U8" s="24"/>
      <c r="V8" s="15" t="s">
        <v>19</v>
      </c>
      <c r="W8" s="14">
        <f>(R7-R8)+(1.645*0.04555991)</f>
        <v>-1.9450539480499995</v>
      </c>
      <c r="X8" s="16">
        <f>(R7-R8)+(1.96*0.04555991)</f>
        <v>-1.9307025763999996</v>
      </c>
      <c r="Y8" s="16">
        <f>(R7-R8)+(2.576*0.04555991)</f>
        <v>-1.9026376718399995</v>
      </c>
      <c r="AA8">
        <v>21.4</v>
      </c>
    </row>
    <row r="9" spans="1:27">
      <c r="A9" t="s">
        <v>20</v>
      </c>
      <c r="B9">
        <v>20.8</v>
      </c>
      <c r="C9">
        <v>20.399999999999999</v>
      </c>
      <c r="D9">
        <v>22.9</v>
      </c>
      <c r="E9">
        <v>21.2</v>
      </c>
      <c r="F9">
        <v>20.3</v>
      </c>
      <c r="G9">
        <v>17.899999999999999</v>
      </c>
      <c r="H9">
        <v>21.7</v>
      </c>
      <c r="I9">
        <v>21.8</v>
      </c>
      <c r="J9">
        <v>22</v>
      </c>
      <c r="K9">
        <v>21.6</v>
      </c>
      <c r="L9">
        <v>22.4</v>
      </c>
      <c r="M9" s="8">
        <v>61.78</v>
      </c>
      <c r="N9" s="13">
        <f>(M9-61.733333)</f>
        <v>4.6666999999999348E-2</v>
      </c>
      <c r="O9" s="13">
        <f>N9^2</f>
        <v>2.177808888999939E-3</v>
      </c>
      <c r="AA9">
        <v>20.3</v>
      </c>
    </row>
    <row r="10" spans="1:27">
      <c r="A10" t="s">
        <v>21</v>
      </c>
      <c r="B10">
        <v>20.5</v>
      </c>
      <c r="C10">
        <v>16.600000000000001</v>
      </c>
      <c r="D10">
        <v>22.2</v>
      </c>
      <c r="E10">
        <v>21.4</v>
      </c>
      <c r="F10">
        <v>20.3</v>
      </c>
      <c r="G10">
        <v>17.8</v>
      </c>
      <c r="H10">
        <v>21.3</v>
      </c>
      <c r="I10">
        <v>22.2</v>
      </c>
      <c r="J10">
        <v>21.3</v>
      </c>
      <c r="K10">
        <v>22.7</v>
      </c>
      <c r="L10">
        <v>22.5</v>
      </c>
      <c r="M10" s="8">
        <v>61.42</v>
      </c>
      <c r="N10" s="13">
        <f t="shared" si="0"/>
        <v>-0.31333300000000008</v>
      </c>
      <c r="O10" s="13">
        <f t="shared" si="1"/>
        <v>9.8177568889000047E-2</v>
      </c>
      <c r="AA10">
        <v>21.2</v>
      </c>
    </row>
    <row r="11" spans="1:27">
      <c r="A11" t="s">
        <v>22</v>
      </c>
      <c r="B11">
        <v>21.1</v>
      </c>
      <c r="C11">
        <v>20.2</v>
      </c>
      <c r="D11">
        <v>21.9</v>
      </c>
      <c r="E11">
        <v>22.1</v>
      </c>
      <c r="F11">
        <v>18.8</v>
      </c>
      <c r="G11">
        <v>17.899999999999999</v>
      </c>
      <c r="H11">
        <v>21.3</v>
      </c>
      <c r="I11">
        <v>22.6</v>
      </c>
      <c r="J11">
        <v>21.2</v>
      </c>
      <c r="K11">
        <v>22.2</v>
      </c>
      <c r="L11">
        <v>24.2</v>
      </c>
      <c r="M11" s="8">
        <v>61.78</v>
      </c>
      <c r="N11" s="12">
        <f>(M11-61.733333)</f>
        <v>4.6666999999999348E-2</v>
      </c>
      <c r="O11" s="13">
        <f t="shared" si="1"/>
        <v>2.177808888999939E-3</v>
      </c>
      <c r="AA11">
        <v>22.2</v>
      </c>
    </row>
    <row r="12" spans="1:27">
      <c r="A12" t="s">
        <v>23</v>
      </c>
      <c r="B12">
        <v>20.7</v>
      </c>
      <c r="C12">
        <v>18.100000000000001</v>
      </c>
      <c r="D12">
        <v>22.3</v>
      </c>
      <c r="E12">
        <v>22</v>
      </c>
      <c r="F12">
        <v>19.899999999999999</v>
      </c>
      <c r="G12">
        <v>17.899999999999999</v>
      </c>
      <c r="H12">
        <v>21.1</v>
      </c>
      <c r="I12">
        <v>21.9</v>
      </c>
      <c r="J12">
        <v>21.4</v>
      </c>
      <c r="K12">
        <v>21.5</v>
      </c>
      <c r="L12">
        <v>23.9</v>
      </c>
      <c r="M12" s="8">
        <v>61.78</v>
      </c>
      <c r="N12" s="13">
        <f t="shared" si="0"/>
        <v>4.6666999999999348E-2</v>
      </c>
      <c r="O12" s="13">
        <f t="shared" si="1"/>
        <v>2.177808888999939E-3</v>
      </c>
      <c r="Q12" s="22"/>
      <c r="R12" s="22"/>
      <c r="S12" s="22"/>
      <c r="T12" s="22"/>
      <c r="U12" s="22"/>
      <c r="AA12">
        <v>23.1</v>
      </c>
    </row>
    <row r="13" spans="1:27">
      <c r="A13" t="s">
        <v>24</v>
      </c>
      <c r="B13">
        <v>20.8</v>
      </c>
      <c r="C13">
        <v>17.899999999999999</v>
      </c>
      <c r="D13">
        <v>22</v>
      </c>
      <c r="E13">
        <v>20.8</v>
      </c>
      <c r="F13">
        <v>19.8</v>
      </c>
      <c r="G13">
        <v>17.899999999999999</v>
      </c>
      <c r="H13">
        <v>21.1</v>
      </c>
      <c r="I13">
        <v>21.4</v>
      </c>
      <c r="J13">
        <v>22.1</v>
      </c>
      <c r="K13">
        <v>21.1</v>
      </c>
      <c r="L13">
        <v>23.3</v>
      </c>
      <c r="M13" s="8">
        <v>61.96</v>
      </c>
      <c r="N13" s="13">
        <f t="shared" si="0"/>
        <v>0.22666699999999906</v>
      </c>
      <c r="O13" s="13">
        <f t="shared" si="1"/>
        <v>5.1377928888999579E-2</v>
      </c>
      <c r="Q13" s="22"/>
      <c r="R13" s="22"/>
      <c r="S13" s="22"/>
      <c r="T13" s="22"/>
      <c r="U13" s="22"/>
      <c r="AA13">
        <v>22.9</v>
      </c>
    </row>
    <row r="14" spans="1:27">
      <c r="A14" t="s">
        <v>25</v>
      </c>
      <c r="B14">
        <v>20.100000000000001</v>
      </c>
      <c r="C14">
        <v>19</v>
      </c>
      <c r="D14">
        <v>22.6</v>
      </c>
      <c r="E14">
        <v>21.4</v>
      </c>
      <c r="F14">
        <v>18.8</v>
      </c>
      <c r="G14">
        <v>17.899999999999999</v>
      </c>
      <c r="H14">
        <v>21.4</v>
      </c>
      <c r="I14">
        <v>21.1</v>
      </c>
      <c r="J14">
        <v>21.4</v>
      </c>
      <c r="K14">
        <v>21.2</v>
      </c>
      <c r="L14">
        <v>23.6</v>
      </c>
      <c r="M14" s="8">
        <v>61.6</v>
      </c>
      <c r="N14" s="12">
        <f t="shared" si="0"/>
        <v>-0.13333300000000037</v>
      </c>
      <c r="O14" s="13">
        <f t="shared" si="1"/>
        <v>1.7777688889000099E-2</v>
      </c>
      <c r="Q14" s="22"/>
      <c r="R14" s="22"/>
      <c r="S14" s="22"/>
      <c r="T14" s="22"/>
      <c r="U14" s="22"/>
      <c r="AA14">
        <v>23.9</v>
      </c>
    </row>
    <row r="15" spans="1:27">
      <c r="A15" t="s">
        <v>26</v>
      </c>
      <c r="B15">
        <v>20.2</v>
      </c>
      <c r="C15">
        <v>19</v>
      </c>
      <c r="D15">
        <v>23.1</v>
      </c>
      <c r="E15">
        <v>21.3</v>
      </c>
      <c r="F15">
        <v>19.600000000000001</v>
      </c>
      <c r="G15">
        <v>18</v>
      </c>
      <c r="H15">
        <v>21.4</v>
      </c>
      <c r="I15">
        <v>21.4</v>
      </c>
      <c r="J15">
        <v>22</v>
      </c>
      <c r="K15">
        <v>20.2</v>
      </c>
      <c r="L15">
        <v>22.8</v>
      </c>
      <c r="M15" s="8">
        <v>61.78</v>
      </c>
      <c r="N15" s="13">
        <f t="shared" si="0"/>
        <v>4.6666999999999348E-2</v>
      </c>
      <c r="O15" s="13">
        <f t="shared" si="1"/>
        <v>2.177808888999939E-3</v>
      </c>
      <c r="Q15" s="22"/>
      <c r="R15" s="22"/>
      <c r="S15" s="22"/>
      <c r="T15" s="22"/>
      <c r="U15" s="22"/>
      <c r="AA15">
        <v>23.2</v>
      </c>
    </row>
    <row r="16" spans="1:27">
      <c r="A16" t="s">
        <v>27</v>
      </c>
      <c r="B16">
        <v>20.7</v>
      </c>
      <c r="C16">
        <v>19.5</v>
      </c>
      <c r="D16">
        <v>24.1</v>
      </c>
      <c r="E16">
        <v>20.5</v>
      </c>
      <c r="F16">
        <v>19.399999999999999</v>
      </c>
      <c r="G16">
        <v>18</v>
      </c>
      <c r="H16">
        <v>21.4</v>
      </c>
      <c r="I16">
        <v>21.2</v>
      </c>
      <c r="J16">
        <v>20.7</v>
      </c>
      <c r="K16">
        <v>21.2</v>
      </c>
      <c r="L16">
        <v>22.7</v>
      </c>
      <c r="M16" s="8">
        <v>61.6</v>
      </c>
      <c r="N16" s="13">
        <f t="shared" si="0"/>
        <v>-0.13333300000000037</v>
      </c>
      <c r="O16" s="13">
        <f t="shared" si="1"/>
        <v>1.7777688889000099E-2</v>
      </c>
      <c r="Q16" s="22"/>
      <c r="R16" s="22"/>
      <c r="S16" s="22"/>
      <c r="T16" s="22"/>
      <c r="U16" s="22"/>
      <c r="AA16">
        <v>23.6</v>
      </c>
    </row>
    <row r="17" spans="1:27">
      <c r="A17" t="s">
        <v>28</v>
      </c>
      <c r="B17">
        <v>21.3</v>
      </c>
      <c r="C17">
        <v>20.5</v>
      </c>
      <c r="D17">
        <v>23.4</v>
      </c>
      <c r="E17">
        <v>21.2</v>
      </c>
      <c r="F17">
        <v>18.8</v>
      </c>
      <c r="G17">
        <v>17.899999999999999</v>
      </c>
      <c r="H17">
        <v>21.5</v>
      </c>
      <c r="I17">
        <v>20.399999999999999</v>
      </c>
      <c r="J17">
        <v>20.8</v>
      </c>
      <c r="K17">
        <v>20.2</v>
      </c>
      <c r="L17">
        <v>23.5</v>
      </c>
      <c r="M17" s="8">
        <v>61.78</v>
      </c>
      <c r="N17" s="12">
        <f t="shared" si="0"/>
        <v>4.6666999999999348E-2</v>
      </c>
      <c r="O17" s="13">
        <f t="shared" si="1"/>
        <v>2.177808888999939E-3</v>
      </c>
      <c r="AA17">
        <v>23</v>
      </c>
    </row>
    <row r="18" spans="1:27">
      <c r="A18" t="s">
        <v>29</v>
      </c>
      <c r="B18">
        <v>21.4</v>
      </c>
      <c r="C18">
        <v>20.399999999999999</v>
      </c>
      <c r="D18">
        <v>24.5</v>
      </c>
      <c r="E18">
        <v>21.3</v>
      </c>
      <c r="F18">
        <v>19.100000000000001</v>
      </c>
      <c r="G18">
        <v>17.899999999999999</v>
      </c>
      <c r="H18">
        <v>20.7</v>
      </c>
      <c r="I18">
        <v>20.8</v>
      </c>
      <c r="J18">
        <v>19</v>
      </c>
      <c r="K18">
        <v>20.8</v>
      </c>
      <c r="L18">
        <v>22.6</v>
      </c>
      <c r="M18" s="8">
        <v>62.14</v>
      </c>
      <c r="N18" s="13">
        <f t="shared" si="0"/>
        <v>0.40666699999999878</v>
      </c>
      <c r="O18" s="13">
        <f t="shared" si="1"/>
        <v>0.16537804888899901</v>
      </c>
      <c r="AA18">
        <v>22.9</v>
      </c>
    </row>
    <row r="19" spans="1:27">
      <c r="A19" t="s">
        <v>30</v>
      </c>
      <c r="B19">
        <v>21</v>
      </c>
      <c r="C19">
        <v>20</v>
      </c>
      <c r="D19">
        <v>23.6</v>
      </c>
      <c r="E19">
        <v>22.3</v>
      </c>
      <c r="F19">
        <v>18.2</v>
      </c>
      <c r="G19">
        <v>17.899999999999999</v>
      </c>
      <c r="H19">
        <v>21.4</v>
      </c>
      <c r="I19">
        <v>20.6</v>
      </c>
      <c r="J19">
        <v>20.8</v>
      </c>
      <c r="K19">
        <v>20.7</v>
      </c>
      <c r="L19">
        <v>23.3</v>
      </c>
      <c r="M19" s="8">
        <v>61.6</v>
      </c>
      <c r="N19" s="13">
        <f t="shared" si="0"/>
        <v>-0.13333300000000037</v>
      </c>
      <c r="O19" s="13">
        <f t="shared" si="1"/>
        <v>1.7777688889000099E-2</v>
      </c>
      <c r="AA19">
        <v>22.5</v>
      </c>
    </row>
    <row r="20" spans="1:27">
      <c r="A20" t="s">
        <v>31</v>
      </c>
      <c r="B20">
        <v>21.1</v>
      </c>
      <c r="C20">
        <v>19.399999999999999</v>
      </c>
      <c r="D20">
        <v>23.1</v>
      </c>
      <c r="E20">
        <v>21.5</v>
      </c>
      <c r="F20">
        <v>18.8</v>
      </c>
      <c r="G20">
        <v>18</v>
      </c>
      <c r="H20">
        <v>21.4</v>
      </c>
      <c r="I20">
        <v>22</v>
      </c>
      <c r="J20">
        <v>20.8</v>
      </c>
      <c r="K20">
        <v>21</v>
      </c>
      <c r="L20">
        <v>23.5</v>
      </c>
      <c r="M20" s="8">
        <v>61.78</v>
      </c>
      <c r="N20" s="12">
        <f t="shared" si="0"/>
        <v>4.6666999999999348E-2</v>
      </c>
      <c r="O20" s="13">
        <f t="shared" si="1"/>
        <v>2.177808888999939E-3</v>
      </c>
      <c r="AA20">
        <v>22.3</v>
      </c>
    </row>
    <row r="21" spans="1:27">
      <c r="A21" t="s">
        <v>32</v>
      </c>
      <c r="B21">
        <v>21.1</v>
      </c>
      <c r="C21">
        <v>18.399999999999999</v>
      </c>
      <c r="D21">
        <v>22.5</v>
      </c>
      <c r="E21">
        <v>22.1</v>
      </c>
      <c r="F21">
        <v>18.7</v>
      </c>
      <c r="G21">
        <v>18</v>
      </c>
      <c r="H21">
        <v>21.5</v>
      </c>
      <c r="I21">
        <v>21.7</v>
      </c>
      <c r="J21">
        <v>19.899999999999999</v>
      </c>
      <c r="K21">
        <v>21.3</v>
      </c>
      <c r="L21">
        <v>23.8</v>
      </c>
      <c r="M21" s="8">
        <v>61.6</v>
      </c>
      <c r="N21" s="13">
        <f t="shared" si="0"/>
        <v>-0.13333300000000037</v>
      </c>
      <c r="O21" s="13">
        <f t="shared" si="1"/>
        <v>1.7777688889000099E-2</v>
      </c>
      <c r="AA21">
        <v>23.1</v>
      </c>
    </row>
    <row r="22" spans="1:27">
      <c r="A22" t="s">
        <v>33</v>
      </c>
      <c r="B22">
        <v>21.5</v>
      </c>
      <c r="C22">
        <v>19</v>
      </c>
      <c r="D22">
        <v>24.2</v>
      </c>
      <c r="E22">
        <v>21.7</v>
      </c>
      <c r="F22">
        <v>18.7</v>
      </c>
      <c r="G22">
        <v>17.899999999999999</v>
      </c>
      <c r="H22">
        <v>21.3</v>
      </c>
      <c r="I22">
        <v>21.3</v>
      </c>
      <c r="J22">
        <v>21.4</v>
      </c>
      <c r="K22">
        <v>20.8</v>
      </c>
      <c r="L22">
        <v>22.3</v>
      </c>
      <c r="M22" s="8">
        <v>61.78</v>
      </c>
      <c r="N22" s="13">
        <f t="shared" si="0"/>
        <v>4.6666999999999348E-2</v>
      </c>
      <c r="O22" s="13">
        <f t="shared" si="1"/>
        <v>2.177808888999939E-3</v>
      </c>
      <c r="AA22">
        <v>20.7</v>
      </c>
    </row>
    <row r="23" spans="1:27">
      <c r="A23" t="s">
        <v>34</v>
      </c>
      <c r="B23">
        <v>20.7</v>
      </c>
      <c r="C23">
        <v>20.3</v>
      </c>
      <c r="D23">
        <v>24.2</v>
      </c>
      <c r="E23">
        <v>22.7</v>
      </c>
      <c r="F23">
        <v>18.5</v>
      </c>
      <c r="G23">
        <v>17.899999999999999</v>
      </c>
      <c r="H23">
        <v>21.7</v>
      </c>
      <c r="I23">
        <v>21.7</v>
      </c>
      <c r="J23">
        <v>20.8</v>
      </c>
      <c r="K23">
        <v>20.7</v>
      </c>
      <c r="L23">
        <v>23.1</v>
      </c>
      <c r="M23" s="8">
        <v>61.42</v>
      </c>
      <c r="N23" s="12">
        <f t="shared" si="0"/>
        <v>-0.31333300000000008</v>
      </c>
      <c r="O23" s="13">
        <f t="shared" si="1"/>
        <v>9.8177568889000047E-2</v>
      </c>
      <c r="AA23">
        <v>22.3</v>
      </c>
    </row>
    <row r="24" spans="1:27">
      <c r="A24" t="s">
        <v>35</v>
      </c>
      <c r="B24">
        <v>20.7</v>
      </c>
      <c r="C24">
        <v>19.8</v>
      </c>
      <c r="D24">
        <v>23.6</v>
      </c>
      <c r="E24">
        <v>21.5</v>
      </c>
      <c r="F24">
        <v>18.8</v>
      </c>
      <c r="G24">
        <v>17.899999999999999</v>
      </c>
      <c r="H24">
        <v>21</v>
      </c>
      <c r="I24">
        <v>21.2</v>
      </c>
      <c r="J24">
        <v>20.5</v>
      </c>
      <c r="K24">
        <v>20.8</v>
      </c>
      <c r="L24">
        <v>22.5</v>
      </c>
      <c r="M24" s="8">
        <v>62.14</v>
      </c>
      <c r="N24" s="13">
        <f t="shared" si="0"/>
        <v>0.40666699999999878</v>
      </c>
      <c r="O24" s="13">
        <f t="shared" si="1"/>
        <v>0.16537804888899901</v>
      </c>
      <c r="AA24">
        <v>22.1</v>
      </c>
    </row>
    <row r="25" spans="1:27">
      <c r="A25" t="s">
        <v>36</v>
      </c>
      <c r="B25">
        <v>21.1</v>
      </c>
      <c r="C25">
        <v>19.5</v>
      </c>
      <c r="D25">
        <v>23.1</v>
      </c>
      <c r="E25">
        <v>21.3</v>
      </c>
      <c r="F25">
        <v>16.600000000000001</v>
      </c>
      <c r="G25">
        <v>17.899999999999999</v>
      </c>
      <c r="H25">
        <v>20.9</v>
      </c>
      <c r="I25">
        <v>21</v>
      </c>
      <c r="J25">
        <v>22.6</v>
      </c>
      <c r="K25">
        <v>20.6</v>
      </c>
      <c r="L25">
        <v>23.5</v>
      </c>
      <c r="M25" s="8">
        <v>61.78</v>
      </c>
      <c r="N25" s="13">
        <f t="shared" si="0"/>
        <v>4.6666999999999348E-2</v>
      </c>
      <c r="O25" s="13">
        <f t="shared" si="1"/>
        <v>2.177808888999939E-3</v>
      </c>
      <c r="AA25">
        <v>22.1</v>
      </c>
    </row>
    <row r="26" spans="1:27">
      <c r="A26" t="s">
        <v>37</v>
      </c>
      <c r="B26">
        <v>21</v>
      </c>
      <c r="C26">
        <v>19.600000000000001</v>
      </c>
      <c r="D26">
        <v>24.6</v>
      </c>
      <c r="E26">
        <v>21.7</v>
      </c>
      <c r="F26">
        <v>17.5</v>
      </c>
      <c r="G26">
        <v>17.899999999999999</v>
      </c>
      <c r="H26">
        <v>20.7</v>
      </c>
      <c r="I26">
        <v>21.5</v>
      </c>
      <c r="J26">
        <v>21.6</v>
      </c>
      <c r="K26">
        <v>20.3</v>
      </c>
      <c r="L26">
        <v>24.2</v>
      </c>
      <c r="M26" s="8">
        <v>61.78</v>
      </c>
      <c r="N26" s="12">
        <f t="shared" si="0"/>
        <v>4.6666999999999348E-2</v>
      </c>
      <c r="O26" s="13">
        <f t="shared" si="1"/>
        <v>2.177808888999939E-3</v>
      </c>
      <c r="AA26">
        <v>20.100000000000001</v>
      </c>
    </row>
    <row r="27" spans="1:27">
      <c r="A27" t="s">
        <v>38</v>
      </c>
      <c r="B27">
        <v>21.4</v>
      </c>
      <c r="C27">
        <v>19.2</v>
      </c>
      <c r="D27">
        <v>25.5</v>
      </c>
      <c r="E27">
        <v>21.3</v>
      </c>
      <c r="F27">
        <v>18.5</v>
      </c>
      <c r="G27">
        <v>17.899999999999999</v>
      </c>
      <c r="H27">
        <v>21.1</v>
      </c>
      <c r="I27">
        <v>21.6</v>
      </c>
      <c r="J27">
        <v>20.9</v>
      </c>
      <c r="K27">
        <v>23.7</v>
      </c>
      <c r="L27">
        <v>22.8</v>
      </c>
      <c r="M27" s="8">
        <v>61.6</v>
      </c>
      <c r="N27" s="13">
        <f t="shared" si="0"/>
        <v>-0.13333300000000037</v>
      </c>
      <c r="O27" s="13">
        <f t="shared" si="1"/>
        <v>1.7777688889000099E-2</v>
      </c>
      <c r="AA27">
        <v>23.5</v>
      </c>
    </row>
    <row r="28" spans="1:27">
      <c r="A28" t="s">
        <v>39</v>
      </c>
      <c r="B28">
        <v>21</v>
      </c>
      <c r="C28">
        <v>19.600000000000001</v>
      </c>
      <c r="D28">
        <v>26.4</v>
      </c>
      <c r="E28">
        <v>20.2</v>
      </c>
      <c r="F28">
        <v>18</v>
      </c>
      <c r="G28">
        <v>18</v>
      </c>
      <c r="H28">
        <v>21.7</v>
      </c>
      <c r="I28">
        <v>20</v>
      </c>
      <c r="J28">
        <v>20.6</v>
      </c>
      <c r="K28">
        <v>23.3</v>
      </c>
      <c r="L28">
        <v>24.2</v>
      </c>
      <c r="M28" s="8">
        <v>61.78</v>
      </c>
      <c r="N28" s="13">
        <f t="shared" si="0"/>
        <v>4.6666999999999348E-2</v>
      </c>
      <c r="O28" s="13">
        <f t="shared" si="1"/>
        <v>2.177808888999939E-3</v>
      </c>
      <c r="AA28">
        <v>23.4</v>
      </c>
    </row>
    <row r="29" spans="1:27">
      <c r="A29" t="s">
        <v>40</v>
      </c>
      <c r="B29">
        <v>21.3</v>
      </c>
      <c r="C29">
        <v>18.100000000000001</v>
      </c>
      <c r="D29">
        <v>25.2</v>
      </c>
      <c r="E29">
        <v>18.899999999999999</v>
      </c>
      <c r="F29">
        <v>18.3</v>
      </c>
      <c r="G29">
        <v>18</v>
      </c>
      <c r="H29">
        <v>20.8</v>
      </c>
      <c r="I29">
        <v>21.8</v>
      </c>
      <c r="J29">
        <v>21</v>
      </c>
      <c r="K29">
        <v>22.7</v>
      </c>
      <c r="L29">
        <v>23</v>
      </c>
      <c r="M29" s="8">
        <v>61.78</v>
      </c>
      <c r="N29" s="12">
        <f t="shared" si="0"/>
        <v>4.6666999999999348E-2</v>
      </c>
      <c r="O29" s="13">
        <f t="shared" si="1"/>
        <v>2.177808888999939E-3</v>
      </c>
      <c r="AA29">
        <v>23.1</v>
      </c>
    </row>
    <row r="30" spans="1:27">
      <c r="A30" t="s">
        <v>41</v>
      </c>
      <c r="B30">
        <v>21.4</v>
      </c>
      <c r="C30">
        <v>18.3</v>
      </c>
      <c r="D30">
        <v>24.6</v>
      </c>
      <c r="E30">
        <v>19</v>
      </c>
      <c r="F30">
        <v>18.7</v>
      </c>
      <c r="G30">
        <v>18.100000000000001</v>
      </c>
      <c r="H30">
        <v>21.3</v>
      </c>
      <c r="I30">
        <v>21.4</v>
      </c>
      <c r="J30">
        <v>21.2</v>
      </c>
      <c r="K30">
        <v>23</v>
      </c>
      <c r="L30">
        <v>22.7</v>
      </c>
      <c r="M30" s="8">
        <v>61.6</v>
      </c>
      <c r="N30" s="13">
        <f t="shared" si="0"/>
        <v>-0.13333300000000037</v>
      </c>
      <c r="O30" s="13">
        <f t="shared" si="1"/>
        <v>1.7777688889000099E-2</v>
      </c>
      <c r="AA30">
        <v>23.8</v>
      </c>
    </row>
    <row r="31" spans="1:27">
      <c r="A31" t="s">
        <v>42</v>
      </c>
      <c r="B31">
        <v>20.5</v>
      </c>
      <c r="C31">
        <v>18.5</v>
      </c>
      <c r="D31">
        <v>23.9</v>
      </c>
      <c r="E31">
        <v>19.600000000000001</v>
      </c>
      <c r="F31">
        <v>18.2</v>
      </c>
      <c r="G31">
        <v>17.899999999999999</v>
      </c>
      <c r="H31">
        <v>20.7</v>
      </c>
      <c r="I31">
        <v>21</v>
      </c>
      <c r="J31">
        <v>20.7</v>
      </c>
      <c r="K31">
        <v>22.4</v>
      </c>
      <c r="L31">
        <v>23.4</v>
      </c>
      <c r="M31" s="8">
        <v>61.78</v>
      </c>
      <c r="N31" s="13">
        <f t="shared" si="0"/>
        <v>4.6666999999999348E-2</v>
      </c>
      <c r="O31" s="13">
        <f t="shared" si="1"/>
        <v>2.177808888999939E-3</v>
      </c>
      <c r="AA31">
        <v>21.9</v>
      </c>
    </row>
    <row r="32" spans="1:27">
      <c r="B32" s="6"/>
      <c r="C32" s="6"/>
      <c r="D32">
        <v>25.3</v>
      </c>
      <c r="L32">
        <v>23</v>
      </c>
      <c r="O32" s="13">
        <f>SUM(O2:O31)</f>
        <v>0.9029333066699976</v>
      </c>
    </row>
    <row r="33" spans="4:15">
      <c r="D33">
        <v>25.1</v>
      </c>
      <c r="L33">
        <v>22.7</v>
      </c>
      <c r="O33" s="2">
        <f>(SUM(O2:O31))/(29)</f>
        <v>3.1135631264482676E-2</v>
      </c>
    </row>
    <row r="34" spans="4:15">
      <c r="D34">
        <v>24.8</v>
      </c>
      <c r="L34">
        <v>22.3</v>
      </c>
      <c r="O34" s="13"/>
    </row>
    <row r="35" spans="4:15">
      <c r="D35">
        <v>24.8</v>
      </c>
      <c r="L35">
        <v>22</v>
      </c>
    </row>
    <row r="36" spans="4:15">
      <c r="D36">
        <v>25.3</v>
      </c>
      <c r="L36">
        <v>21.1</v>
      </c>
    </row>
    <row r="37" spans="4:15">
      <c r="D37">
        <v>27.7</v>
      </c>
      <c r="L37">
        <v>21.4</v>
      </c>
    </row>
    <row r="38" spans="4:15">
      <c r="D38">
        <v>26</v>
      </c>
      <c r="L38">
        <v>22</v>
      </c>
    </row>
    <row r="39" spans="4:15">
      <c r="D39">
        <v>25.9</v>
      </c>
      <c r="L39">
        <v>22.3</v>
      </c>
    </row>
    <row r="40" spans="4:15">
      <c r="D40">
        <v>24.9</v>
      </c>
      <c r="L40">
        <v>22.7</v>
      </c>
    </row>
    <row r="41" spans="4:15">
      <c r="D41">
        <v>26.3</v>
      </c>
      <c r="L41">
        <v>22.7</v>
      </c>
    </row>
    <row r="42" spans="4:15">
      <c r="L42">
        <v>22.4</v>
      </c>
    </row>
    <row r="43" spans="4:15">
      <c r="L43">
        <v>21.5</v>
      </c>
    </row>
    <row r="44" spans="4:15">
      <c r="L44">
        <v>22</v>
      </c>
    </row>
    <row r="45" spans="4:15">
      <c r="L45">
        <v>22.3</v>
      </c>
    </row>
    <row r="46" spans="4:15">
      <c r="L46">
        <v>22</v>
      </c>
    </row>
    <row r="47" spans="4:15">
      <c r="L47">
        <v>21.7</v>
      </c>
    </row>
    <row r="48" spans="4:15">
      <c r="L48">
        <v>22</v>
      </c>
    </row>
    <row r="49" spans="4:12">
      <c r="L49">
        <v>22.3</v>
      </c>
    </row>
    <row r="50" spans="4:12">
      <c r="L50">
        <v>22.4</v>
      </c>
    </row>
    <row r="51" spans="4:12">
      <c r="D51" s="5"/>
      <c r="L51">
        <v>21.7</v>
      </c>
    </row>
    <row r="52" spans="4:12">
      <c r="D52" s="5"/>
      <c r="L52">
        <v>21.5</v>
      </c>
    </row>
    <row r="53" spans="4:12">
      <c r="D53" s="5"/>
      <c r="L53">
        <v>22.6</v>
      </c>
    </row>
    <row r="54" spans="4:12">
      <c r="D54" s="5"/>
      <c r="L54">
        <v>20.8</v>
      </c>
    </row>
    <row r="55" spans="4:12">
      <c r="D55" s="5"/>
      <c r="L55">
        <v>20.2</v>
      </c>
    </row>
    <row r="56" spans="4:12">
      <c r="D56" s="5"/>
      <c r="L56">
        <v>20.8</v>
      </c>
    </row>
    <row r="57" spans="4:12">
      <c r="D57" s="5"/>
      <c r="L57">
        <v>21</v>
      </c>
    </row>
    <row r="58" spans="4:12">
      <c r="D58" s="5"/>
      <c r="L58">
        <v>21.8</v>
      </c>
    </row>
    <row r="59" spans="4:12">
      <c r="D59" s="5"/>
      <c r="L59">
        <v>21.5</v>
      </c>
    </row>
    <row r="60" spans="4:12">
      <c r="D60" s="5"/>
      <c r="L60">
        <v>21</v>
      </c>
    </row>
    <row r="61" spans="4:12">
      <c r="L61">
        <v>20.399999999999999</v>
      </c>
    </row>
    <row r="62" spans="4:12">
      <c r="L62">
        <v>20.7</v>
      </c>
    </row>
    <row r="63" spans="4:12">
      <c r="L63">
        <v>21</v>
      </c>
    </row>
    <row r="64" spans="4:12">
      <c r="L64">
        <v>21.4</v>
      </c>
    </row>
    <row r="65" spans="12:12">
      <c r="L65">
        <v>21</v>
      </c>
    </row>
    <row r="66" spans="12:12">
      <c r="L66">
        <v>20.8</v>
      </c>
    </row>
    <row r="67" spans="12:12">
      <c r="L67">
        <v>20.8</v>
      </c>
    </row>
    <row r="68" spans="12:12">
      <c r="L68">
        <v>20.100000000000001</v>
      </c>
    </row>
    <row r="69" spans="12:12">
      <c r="L69">
        <v>20.8</v>
      </c>
    </row>
    <row r="70" spans="12:12">
      <c r="L70">
        <v>21.4</v>
      </c>
    </row>
    <row r="71" spans="12:12">
      <c r="L71">
        <v>21.1</v>
      </c>
    </row>
    <row r="72" spans="12:12">
      <c r="L72">
        <v>21.1</v>
      </c>
    </row>
    <row r="73" spans="12:12">
      <c r="L73">
        <v>22.6</v>
      </c>
    </row>
    <row r="74" spans="12:12">
      <c r="L74">
        <v>22</v>
      </c>
    </row>
    <row r="75" spans="12:12">
      <c r="L75">
        <v>22.3</v>
      </c>
    </row>
    <row r="76" spans="12:12">
      <c r="L76">
        <v>22.7</v>
      </c>
    </row>
    <row r="77" spans="12:12">
      <c r="L77">
        <v>22.7</v>
      </c>
    </row>
    <row r="78" spans="12:12">
      <c r="L78">
        <v>22.1</v>
      </c>
    </row>
    <row r="79" spans="12:12">
      <c r="L79">
        <v>22</v>
      </c>
    </row>
    <row r="80" spans="12:12">
      <c r="L80">
        <v>22</v>
      </c>
    </row>
    <row r="81" spans="12:13">
      <c r="L81">
        <v>21</v>
      </c>
    </row>
    <row r="82" spans="12:13">
      <c r="L82">
        <v>21.7</v>
      </c>
    </row>
    <row r="83" spans="12:13">
      <c r="L83">
        <v>21.4</v>
      </c>
    </row>
    <row r="84" spans="12:13">
      <c r="L84">
        <v>23.1</v>
      </c>
    </row>
    <row r="85" spans="12:13">
      <c r="L85">
        <v>23</v>
      </c>
    </row>
    <row r="86" spans="12:13">
      <c r="L86">
        <v>22</v>
      </c>
    </row>
    <row r="87" spans="12:13">
      <c r="L87">
        <v>21.3</v>
      </c>
    </row>
    <row r="88" spans="12:13">
      <c r="L88">
        <v>23.1</v>
      </c>
    </row>
    <row r="89" spans="12:13">
      <c r="L89">
        <v>22</v>
      </c>
    </row>
    <row r="90" spans="12:13">
      <c r="L90">
        <v>21.1</v>
      </c>
    </row>
    <row r="91" spans="12:13">
      <c r="L91">
        <v>21</v>
      </c>
    </row>
    <row r="92" spans="12:13">
      <c r="L92">
        <v>21.4</v>
      </c>
    </row>
    <row r="95" spans="12:13">
      <c r="M95" s="25"/>
    </row>
  </sheetData>
  <mergeCells count="5">
    <mergeCell ref="V5:Y5"/>
    <mergeCell ref="Q12:U16"/>
    <mergeCell ref="T7:T8"/>
    <mergeCell ref="U7:U8"/>
    <mergeCell ref="Q5:U5"/>
  </mergeCells>
  <pageMargins left="0.75" right="0.75" top="1" bottom="1" header="0.5" footer="0.5"/>
  <pageSetup orientation="portrait" horizontalDpi="4294967292" verticalDpi="429496729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1_Quad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</dc:creator>
  <cp:keywords/>
  <dc:description/>
  <cp:lastModifiedBy>Microsoft Office User</cp:lastModifiedBy>
  <cp:revision/>
  <dcterms:created xsi:type="dcterms:W3CDTF">2018-02-26T02:39:07Z</dcterms:created>
  <dcterms:modified xsi:type="dcterms:W3CDTF">2019-02-27T15:51:59Z</dcterms:modified>
  <cp:category/>
  <cp:contentStatus/>
</cp:coreProperties>
</file>